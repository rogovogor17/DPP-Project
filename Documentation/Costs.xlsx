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tolij/Documents/GitHub/DPP-Project/Documentation/"/>
    </mc:Choice>
  </mc:AlternateContent>
  <xr:revisionPtr revIDLastSave="0" documentId="13_ncr:1_{6B4427F0-10E4-D040-B603-BF2D97C9DE02}" xr6:coauthVersionLast="47" xr6:coauthVersionMax="47" xr10:uidLastSave="{00000000-0000-0000-0000-000000000000}"/>
  <bookViews>
    <workbookView xWindow="0" yWindow="860" windowWidth="36000" windowHeight="22520" xr2:uid="{49F46E24-BE36-9C43-9A8B-8C543AA7EB4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G19" i="1"/>
  <c r="F19" i="1"/>
  <c r="F20" i="1"/>
  <c r="G18" i="1"/>
  <c r="F18" i="1"/>
  <c r="G17" i="1"/>
  <c r="F17" i="1"/>
  <c r="G15" i="1"/>
  <c r="F15" i="1"/>
  <c r="F11" i="1"/>
  <c r="F10" i="1"/>
  <c r="F9" i="1"/>
  <c r="G9" i="1"/>
  <c r="G8" i="1"/>
  <c r="F8" i="1"/>
  <c r="G7" i="1"/>
  <c r="F7" i="1"/>
  <c r="G6" i="1"/>
  <c r="F6" i="1"/>
  <c r="G5" i="1"/>
  <c r="F5" i="1"/>
  <c r="G4" i="1"/>
  <c r="F4" i="1"/>
  <c r="F3" i="1"/>
</calcChain>
</file>

<file path=xl/sharedStrings.xml><?xml version="1.0" encoding="utf-8"?>
<sst xmlns="http://schemas.openxmlformats.org/spreadsheetml/2006/main" count="45" uniqueCount="45">
  <si>
    <t>Наименование товара</t>
  </si>
  <si>
    <t>Количество, шт</t>
  </si>
  <si>
    <t>Цена, руб/шт</t>
  </si>
  <si>
    <t>Ссылка</t>
  </si>
  <si>
    <t>KLS Пластиковые стойки для печатных плат 20 мм. Резьба М3, шестигранная, нейлон, отверстие-отверстие (30 шт.), L-KLS8-0215-M3-20</t>
  </si>
  <si>
    <t>Стоимость, руб</t>
  </si>
  <si>
    <t>https://www.ozon.ru/product/kls-plastikovye-stoyki-dlya-pechatnyh-plat-20-mm-rezba-m3-shestigrannaya-neylon-otverstie-2763739215/</t>
  </si>
  <si>
    <t>Черные 30см нейлоновые фиксаторы на липучке</t>
  </si>
  <si>
    <t>Упаковка (5 шт)</t>
  </si>
  <si>
    <t>https://www.ozon.ru/product/5sht-chernye-30sm-neylonovyy-fiksator-na-lipuchke-dlya-vershinok-udilishcha-spinninga-2043271681/</t>
  </si>
  <si>
    <t>Модуль камеры 5MP OV5647 без ночного видения для веб-камеры Raspberry Pi 75 градусов 3,6 мм с регулируемым фокусом 1080P HD</t>
  </si>
  <si>
    <t>Модуль камеры 5MP OV5647 для веб-камеры Raspberry Pi 75 градусов 3,6 мм с регулируемым фокусом 1080P HD</t>
  </si>
  <si>
    <t>https://www.ozon.ru/product/modul-kamery-5mp-ov5647-bez-nochnogo-videniya-dlya-veb-kamery-raspberry-pi-75-gradusov-3-6-mm-s-1872121553/</t>
  </si>
  <si>
    <t>Flysky Original Лицензия FS - i6 2,4 ГГц с 6 - канальным приемником FS - IA6B</t>
  </si>
  <si>
    <t>https://www.ozon.ru/product/flysky-original-litsenziya-fs-i6-2-4-ggts-s-6-kanalnym-priemnikom-fs-ia6b-1762707476/</t>
  </si>
  <si>
    <t>Силовой разъем питания XT60 для АКБ с проводом (комплект вилка / розетка)</t>
  </si>
  <si>
    <t>https://www.ozon.ru/product/silovoy-razem-pitaniya-xt60-dlya-akb-s-provodom-komplekt-vilka-rozetka-2562128119/</t>
  </si>
  <si>
    <t>Микрокомпьютер Raspberry Pi 3 Model A+</t>
  </si>
  <si>
    <t>https://www.ozon.ru/product/mikrokompyuter-raspberry-pi-3-model-a-2705756427/</t>
  </si>
  <si>
    <t>Стэк полетный контроллер - регулятор Skystars F4 BLH 55A 30x30 мм</t>
  </si>
  <si>
    <t>https://www.ozon.ru/search/?deny_category_prediction=true&amp;from_global=true&amp;text=Комплектующие+для+дронов+и+квадрокоптеров&amp;product_id=1716797737</t>
  </si>
  <si>
    <t>https://www.ozon.ru/product/provoda-peremychki-dupont-dlya-radiokonstruktora-10sm-nabor-3h10shtuk-dlya-arduino-raspberry-pi-1582137925/</t>
  </si>
  <si>
    <t>Провода-перемычки DuPont для радиоконструктора 10см набор 3х10штук для Arduino, Raspberry Pi, STM32, NodeMCU</t>
  </si>
  <si>
    <t>https://www.ozon.ru/product/akkumulyatornaya-batareya-lipo-dlya-kvadrokoptera-3s-3000mah-lightning-power-2381900180/</t>
  </si>
  <si>
    <t>Аккумуляторная батарея LiPo для квадрокоптера 3S 3000mAh Lightning Power</t>
  </si>
  <si>
    <t>https://www.ozon.ru/product/karta-pamyati-sandisk-microsdhc-32-gb-120-mb-s-ultra-class-10-uhs-i-a1-1516998536/</t>
  </si>
  <si>
    <t>Карта памяти SanDisk microSDHC 32 ГБ 120 Мб/с Ultra Class 10 UHS-I A1</t>
  </si>
  <si>
    <t>https://www.ozon.ru/search/?deny_category_prediction=true&amp;from_global=true&amp;text=Запчасть+для+р%2Fу+моделей&amp;product_id=252845801</t>
  </si>
  <si>
    <t>Зарядное устройство B3 20W 2-3S</t>
  </si>
  <si>
    <t>https://www.ozon.ru/product/modul-kamery-5mp-ov5647-bez-nochnogo-videniya-dlya-veb-kamery-raspberry-pi-75-gradusov-3-6-mm-s-2498160349/</t>
  </si>
  <si>
    <t>https://www.ozon.ru/search/?deny_category_prediction=true&amp;from_global=true&amp;text=Аксессуар+для+р%2Fу+моделей&amp;product_id=2411549595</t>
  </si>
  <si>
    <t>DYS 2306 1750KV- бесколлекторный мотор (4-5S, CW резьба) для мультироторных моделей и авиамоделей</t>
  </si>
  <si>
    <t>https://www.ozon.ru/search/?deny_category_prediction=true&amp;from_global=true&amp;text=Калибр+промышленный&amp;product_id=1752362255</t>
  </si>
  <si>
    <t>Тестер аккумуляторной батареи Зуммер низкого напряжения 1-8S Lipo/Li-ion/Fe 2 In1</t>
  </si>
  <si>
    <t>https://www.ozon.ru/search/?deny_category_prediction=true&amp;from_global=true&amp;text=Комплектующие+для+дронов+и+квадрокоптеров&amp;product_id=1861635711</t>
  </si>
  <si>
    <t>Пропеллеры для FPV дрона 5 дюймов</t>
  </si>
  <si>
    <t>2 Пары</t>
  </si>
  <si>
    <t>Стойка алюминиевая 35 мм текстурированная (черная)</t>
  </si>
  <si>
    <t>Стоимость + доставка + скидка, руб</t>
  </si>
  <si>
    <t>https://air-hobby.ru/product/stoyka-alyuminievaya-35-mm-teksturirovannaya-chernaya/</t>
  </si>
  <si>
    <t>Итого</t>
  </si>
  <si>
    <t>Гайка М 2,5 шестигранная, DIN 934, 20 шт.</t>
  </si>
  <si>
    <t>https://www.ozon.ru/product/gayka-m-2-5-shestigrannaya-din-934-20-sht-1969432117/</t>
  </si>
  <si>
    <t>Винт DIN 965 М2,5х16 с потайной головкой 10 шт, нержавеющая сталь А2</t>
  </si>
  <si>
    <t>https://www.ozon.ru/product/vint-din-965-m2-5h16-s-potaynoy-golovkoy-10-sht-nerzhaveyushchaya-stal-a2-1839515251/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</si>
</sst>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rgb="FF070707"/>
      <name val="Times New Roman"/>
      <family val="1"/>
    </font>
    <font>
      <u/>
      <sz val="12"/>
      <color theme="10"/>
      <name val="Calibri"/>
      <family val="2"/>
      <charset val="204"/>
      <scheme val="minor"/>
    </font>
    <font>
      <u/>
      <sz val="12"/>
      <color theme="10"/>
      <name val="Times New Roman"/>
      <family val="1"/>
    </font>
    <font>
      <b/>
      <sz val="2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zon.ru/product/provoda-peremychki-dupont-dlya-radiokonstruktora-10sm-nabor-3h10shtuk-dlya-arduino-raspberry-pi-1582137925/" TargetMode="External"/><Relationship Id="rId13" Type="http://schemas.openxmlformats.org/officeDocument/2006/relationships/hyperlink" Target="https://www.ozon.ru/search/?deny_category_prediction=true&amp;from_global=true&amp;text=&#1040;&#1082;&#1089;&#1077;&#1089;&#1089;&#1091;&#1072;&#1088;+&#1076;&#1083;&#1103;+&#1088;%2F&#1091;+&#1084;&#1086;&#1076;&#1077;&#1083;&#1077;&#1081;&amp;product_id=2411549595" TargetMode="External"/><Relationship Id="rId3" Type="http://schemas.openxmlformats.org/officeDocument/2006/relationships/hyperlink" Target="https://www.ozon.ru/product/modul-kamery-5mp-ov5647-bez-nochnogo-videniya-dlya-veb-kamery-raspberry-pi-75-gradusov-3-6-mm-s-1872121553/" TargetMode="External"/><Relationship Id="rId7" Type="http://schemas.openxmlformats.org/officeDocument/2006/relationships/hyperlink" Target="https://www.ozon.ru/search/?deny_category_prediction=true&amp;from_global=true&amp;text=&#1050;&#1086;&#1084;&#1087;&#1083;&#1077;&#1082;&#1090;&#1091;&#1102;&#1097;&#1080;&#1077;+&#1076;&#1083;&#1103;+&#1076;&#1088;&#1086;&#1085;&#1086;&#1074;+&#1080;+&#1082;&#1074;&#1072;&#1076;&#1088;&#1086;&#1082;&#1086;&#1087;&#1090;&#1077;&#1088;&#1086;&#1074;&amp;product_id=1716797737" TargetMode="External"/><Relationship Id="rId12" Type="http://schemas.openxmlformats.org/officeDocument/2006/relationships/hyperlink" Target="https://www.ozon.ru/product/modul-kamery-5mp-ov5647-bez-nochnogo-videniya-dlya-veb-kamery-raspberry-pi-75-gradusov-3-6-mm-s-2498160349/" TargetMode="External"/><Relationship Id="rId2" Type="http://schemas.openxmlformats.org/officeDocument/2006/relationships/hyperlink" Target="https://www.ozon.ru/product/5sht-chernye-30sm-neylonovyy-fiksator-na-lipuchke-dlya-vershinok-udilishcha-spinninga-2043271681/" TargetMode="External"/><Relationship Id="rId16" Type="http://schemas.openxmlformats.org/officeDocument/2006/relationships/hyperlink" Target="https://air-hobby.ru/product/stoyka-alyuminievaya-35-mm-teksturirovannaya-chernaya/" TargetMode="External"/><Relationship Id="rId1" Type="http://schemas.openxmlformats.org/officeDocument/2006/relationships/hyperlink" Target="https://www.ozon.ru/product/kls-plastikovye-stoyki-dlya-pechatnyh-plat-20-mm-rezba-m3-shestigrannaya-neylon-otverstie-2763739215/" TargetMode="External"/><Relationship Id="rId6" Type="http://schemas.openxmlformats.org/officeDocument/2006/relationships/hyperlink" Target="https://www.ozon.ru/product/mikrokompyuter-raspberry-pi-3-model-a-2705756427/" TargetMode="External"/><Relationship Id="rId11" Type="http://schemas.openxmlformats.org/officeDocument/2006/relationships/hyperlink" Target="https://www.ozon.ru/search/?deny_category_prediction=true&amp;from_global=true&amp;text=&#1047;&#1072;&#1087;&#1095;&#1072;&#1089;&#1090;&#1100;+&#1076;&#1083;&#1103;+&#1088;%2F&#1091;+&#1084;&#1086;&#1076;&#1077;&#1083;&#1077;&#1081;&amp;product_id=252845801" TargetMode="External"/><Relationship Id="rId5" Type="http://schemas.openxmlformats.org/officeDocument/2006/relationships/hyperlink" Target="https://www.ozon.ru/product/silovoy-razem-pitaniya-xt60-dlya-akb-s-provodom-komplekt-vilka-rozetka-2562128119/" TargetMode="External"/><Relationship Id="rId15" Type="http://schemas.openxmlformats.org/officeDocument/2006/relationships/hyperlink" Target="https://www.ozon.ru/search/?deny_category_prediction=true&amp;from_global=true&amp;text=&#1050;&#1086;&#1084;&#1087;&#1083;&#1077;&#1082;&#1090;&#1091;&#1102;&#1097;&#1080;&#1077;+&#1076;&#1083;&#1103;+&#1076;&#1088;&#1086;&#1085;&#1086;&#1074;+&#1080;+&#1082;&#1074;&#1072;&#1076;&#1088;&#1086;&#1082;&#1086;&#1087;&#1090;&#1077;&#1088;&#1086;&#1074;&amp;product_id=1861635711" TargetMode="External"/><Relationship Id="rId10" Type="http://schemas.openxmlformats.org/officeDocument/2006/relationships/hyperlink" Target="https://www.ozon.ru/product/karta-pamyati-sandisk-microsdhc-32-gb-120-mb-s-ultra-class-10-uhs-i-a1-1516998536/" TargetMode="External"/><Relationship Id="rId4" Type="http://schemas.openxmlformats.org/officeDocument/2006/relationships/hyperlink" Target="https://www.ozon.ru/product/flysky-original-litsenziya-fs-i6-2-4-ggts-s-6-kanalnym-priemnikom-fs-ia6b-1762707476/" TargetMode="External"/><Relationship Id="rId9" Type="http://schemas.openxmlformats.org/officeDocument/2006/relationships/hyperlink" Target="https://www.ozon.ru/product/akkumulyatornaya-batareya-lipo-dlya-kvadrokoptera-3s-3000mah-lightning-power-2381900180/" TargetMode="External"/><Relationship Id="rId14" Type="http://schemas.openxmlformats.org/officeDocument/2006/relationships/hyperlink" Target="https://www.ozon.ru/search/?deny_category_prediction=true&amp;from_global=true&amp;text=&#1050;&#1072;&#1083;&#1080;&#1073;&#1088;+&#1087;&#1088;&#1086;&#1084;&#1099;&#1096;&#1083;&#1077;&#1085;&#1085;&#1099;&#1081;&amp;product_id=17523622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9EB80-8361-1B45-99BE-6124F40560F4}">
  <dimension ref="B2:H21"/>
  <sheetViews>
    <sheetView tabSelected="1" zoomScale="75" workbookViewId="0">
      <selection activeCell="H32" sqref="H32"/>
    </sheetView>
  </sheetViews>
  <sheetFormatPr baseColWidth="10" defaultRowHeight="18" x14ac:dyDescent="0.2"/>
  <cols>
    <col min="1" max="1" width="10.83203125" style="1"/>
    <col min="2" max="2" width="6.6640625" style="1" customWidth="1"/>
    <col min="3" max="3" width="31.1640625" style="1" customWidth="1"/>
    <col min="4" max="4" width="19" style="1" customWidth="1"/>
    <col min="5" max="5" width="17.33203125" style="1" customWidth="1"/>
    <col min="6" max="6" width="17.6640625" style="1" bestFit="1" customWidth="1"/>
    <col min="7" max="7" width="40.1640625" style="1" bestFit="1" customWidth="1"/>
    <col min="8" max="8" width="50.5" style="1" customWidth="1"/>
    <col min="9" max="16384" width="10.83203125" style="1"/>
  </cols>
  <sheetData>
    <row r="2" spans="2:8" x14ac:dyDescent="0.2">
      <c r="B2" s="2"/>
      <c r="C2" s="3" t="s">
        <v>0</v>
      </c>
      <c r="D2" s="3" t="s">
        <v>1</v>
      </c>
      <c r="E2" s="3" t="s">
        <v>2</v>
      </c>
      <c r="F2" s="3" t="s">
        <v>5</v>
      </c>
      <c r="G2" s="3" t="s">
        <v>38</v>
      </c>
      <c r="H2" s="3" t="s">
        <v>3</v>
      </c>
    </row>
    <row r="3" spans="2:8" ht="85" x14ac:dyDescent="0.2">
      <c r="B3" s="3">
        <v>1</v>
      </c>
      <c r="C3" s="4" t="s">
        <v>4</v>
      </c>
      <c r="D3" s="2">
        <v>30</v>
      </c>
      <c r="E3" s="2">
        <v>12</v>
      </c>
      <c r="F3" s="5">
        <f>D3*E3</f>
        <v>360</v>
      </c>
      <c r="G3" s="2">
        <v>355</v>
      </c>
      <c r="H3" s="6" t="s">
        <v>6</v>
      </c>
    </row>
    <row r="4" spans="2:8" ht="51" x14ac:dyDescent="0.2">
      <c r="B4" s="3">
        <v>2</v>
      </c>
      <c r="C4" s="4" t="s">
        <v>7</v>
      </c>
      <c r="D4" s="2" t="s">
        <v>8</v>
      </c>
      <c r="E4" s="2">
        <v>186</v>
      </c>
      <c r="F4" s="2">
        <f>E4</f>
        <v>186</v>
      </c>
      <c r="G4" s="2">
        <f>F4</f>
        <v>186</v>
      </c>
      <c r="H4" s="6" t="s">
        <v>9</v>
      </c>
    </row>
    <row r="5" spans="2:8" ht="68" x14ac:dyDescent="0.2">
      <c r="B5" s="3">
        <v>3</v>
      </c>
      <c r="C5" s="4" t="s">
        <v>11</v>
      </c>
      <c r="D5" s="2">
        <v>1</v>
      </c>
      <c r="E5" s="2">
        <v>363</v>
      </c>
      <c r="F5" s="2">
        <f>E5</f>
        <v>363</v>
      </c>
      <c r="G5" s="2">
        <f>E5</f>
        <v>363</v>
      </c>
      <c r="H5" s="6" t="s">
        <v>12</v>
      </c>
    </row>
    <row r="6" spans="2:8" ht="51" x14ac:dyDescent="0.2">
      <c r="B6" s="3">
        <v>4</v>
      </c>
      <c r="C6" s="4" t="s">
        <v>13</v>
      </c>
      <c r="D6" s="2">
        <v>1</v>
      </c>
      <c r="E6" s="2">
        <v>3362</v>
      </c>
      <c r="F6" s="2">
        <f>E6</f>
        <v>3362</v>
      </c>
      <c r="G6" s="2">
        <f>E6</f>
        <v>3362</v>
      </c>
      <c r="H6" s="6" t="s">
        <v>14</v>
      </c>
    </row>
    <row r="7" spans="2:8" ht="51" x14ac:dyDescent="0.2">
      <c r="B7" s="3">
        <v>5</v>
      </c>
      <c r="C7" s="7" t="s">
        <v>15</v>
      </c>
      <c r="D7" s="2">
        <v>1</v>
      </c>
      <c r="E7" s="2">
        <v>625</v>
      </c>
      <c r="F7" s="2">
        <f>E7</f>
        <v>625</v>
      </c>
      <c r="G7" s="2">
        <f>E7</f>
        <v>625</v>
      </c>
      <c r="H7" s="6" t="s">
        <v>16</v>
      </c>
    </row>
    <row r="8" spans="2:8" ht="34" x14ac:dyDescent="0.2">
      <c r="B8" s="3">
        <v>5</v>
      </c>
      <c r="C8" s="7" t="s">
        <v>17</v>
      </c>
      <c r="D8" s="2">
        <v>1</v>
      </c>
      <c r="E8" s="2">
        <v>2979</v>
      </c>
      <c r="F8" s="2">
        <f>E8</f>
        <v>2979</v>
      </c>
      <c r="G8" s="2">
        <f>E8</f>
        <v>2979</v>
      </c>
      <c r="H8" s="6" t="s">
        <v>18</v>
      </c>
    </row>
    <row r="9" spans="2:8" ht="51" x14ac:dyDescent="0.2">
      <c r="B9" s="3">
        <v>6</v>
      </c>
      <c r="C9" s="7" t="s">
        <v>19</v>
      </c>
      <c r="D9" s="2">
        <v>1</v>
      </c>
      <c r="E9" s="2">
        <v>5226</v>
      </c>
      <c r="F9" s="2">
        <f>E9</f>
        <v>5226</v>
      </c>
      <c r="G9" s="2">
        <f>E9</f>
        <v>5226</v>
      </c>
      <c r="H9" s="6" t="s">
        <v>20</v>
      </c>
    </row>
    <row r="10" spans="2:8" ht="68" x14ac:dyDescent="0.2">
      <c r="B10" s="3">
        <v>7</v>
      </c>
      <c r="C10" s="7" t="s">
        <v>22</v>
      </c>
      <c r="D10" s="2">
        <v>30</v>
      </c>
      <c r="E10" s="2">
        <v>5</v>
      </c>
      <c r="F10" s="2">
        <f>D10*E10</f>
        <v>150</v>
      </c>
      <c r="G10" s="2">
        <v>144</v>
      </c>
      <c r="H10" s="6" t="s">
        <v>21</v>
      </c>
    </row>
    <row r="11" spans="2:8" ht="51" x14ac:dyDescent="0.2">
      <c r="B11" s="3">
        <v>8</v>
      </c>
      <c r="C11" s="4" t="s">
        <v>24</v>
      </c>
      <c r="D11" s="2">
        <v>2</v>
      </c>
      <c r="E11" s="2">
        <v>1792</v>
      </c>
      <c r="F11" s="2">
        <f>D11*E11</f>
        <v>3584</v>
      </c>
      <c r="G11" s="2">
        <v>3584</v>
      </c>
      <c r="H11" s="6" t="s">
        <v>23</v>
      </c>
    </row>
    <row r="12" spans="2:8" ht="51" x14ac:dyDescent="0.2">
      <c r="B12" s="3">
        <v>9</v>
      </c>
      <c r="C12" s="4" t="s">
        <v>26</v>
      </c>
      <c r="D12" s="2">
        <v>1</v>
      </c>
      <c r="E12" s="2">
        <v>416</v>
      </c>
      <c r="F12" s="2">
        <v>416</v>
      </c>
      <c r="G12" s="2">
        <v>416</v>
      </c>
      <c r="H12" s="6" t="s">
        <v>25</v>
      </c>
    </row>
    <row r="13" spans="2:8" ht="51" x14ac:dyDescent="0.2">
      <c r="B13" s="3">
        <v>10</v>
      </c>
      <c r="C13" s="4" t="s">
        <v>28</v>
      </c>
      <c r="D13" s="2">
        <v>1</v>
      </c>
      <c r="E13" s="2">
        <v>608</v>
      </c>
      <c r="F13" s="2">
        <v>608</v>
      </c>
      <c r="G13" s="2">
        <v>608</v>
      </c>
      <c r="H13" s="6" t="s">
        <v>27</v>
      </c>
    </row>
    <row r="14" spans="2:8" ht="85" x14ac:dyDescent="0.2">
      <c r="B14" s="3">
        <v>11</v>
      </c>
      <c r="C14" s="4" t="s">
        <v>10</v>
      </c>
      <c r="D14" s="2">
        <v>1</v>
      </c>
      <c r="E14" s="2">
        <v>316</v>
      </c>
      <c r="F14" s="2">
        <v>316</v>
      </c>
      <c r="G14" s="2">
        <v>316</v>
      </c>
      <c r="H14" s="6" t="s">
        <v>29</v>
      </c>
    </row>
    <row r="15" spans="2:8" ht="68" x14ac:dyDescent="0.2">
      <c r="B15" s="3">
        <v>12</v>
      </c>
      <c r="C15" s="4" t="s">
        <v>31</v>
      </c>
      <c r="D15" s="2">
        <v>5</v>
      </c>
      <c r="E15" s="2">
        <v>721</v>
      </c>
      <c r="F15" s="2">
        <f>E15*D15</f>
        <v>3605</v>
      </c>
      <c r="G15" s="2">
        <f>F15</f>
        <v>3605</v>
      </c>
      <c r="H15" s="6" t="s">
        <v>30</v>
      </c>
    </row>
    <row r="16" spans="2:8" ht="51" x14ac:dyDescent="0.2">
      <c r="B16" s="3">
        <v>13</v>
      </c>
      <c r="C16" s="4" t="s">
        <v>33</v>
      </c>
      <c r="D16" s="2">
        <v>1</v>
      </c>
      <c r="E16" s="2">
        <v>146</v>
      </c>
      <c r="F16" s="2">
        <v>146</v>
      </c>
      <c r="G16" s="2">
        <v>146</v>
      </c>
      <c r="H16" s="6" t="s">
        <v>32</v>
      </c>
    </row>
    <row r="17" spans="2:8" ht="51" x14ac:dyDescent="0.2">
      <c r="B17" s="3">
        <v>14</v>
      </c>
      <c r="C17" s="7" t="s">
        <v>35</v>
      </c>
      <c r="D17" s="2" t="s">
        <v>36</v>
      </c>
      <c r="E17" s="2">
        <v>116</v>
      </c>
      <c r="F17" s="2">
        <f>E17*2</f>
        <v>232</v>
      </c>
      <c r="G17" s="2">
        <f>F17</f>
        <v>232</v>
      </c>
      <c r="H17" s="6" t="s">
        <v>34</v>
      </c>
    </row>
    <row r="18" spans="2:8" ht="34" x14ac:dyDescent="0.2">
      <c r="B18" s="3">
        <v>15</v>
      </c>
      <c r="C18" s="8" t="s">
        <v>37</v>
      </c>
      <c r="D18" s="2">
        <v>8</v>
      </c>
      <c r="E18" s="2">
        <v>40</v>
      </c>
      <c r="F18" s="2">
        <f>E18*D18</f>
        <v>320</v>
      </c>
      <c r="G18" s="2">
        <f>F18+250</f>
        <v>570</v>
      </c>
      <c r="H18" s="9" t="s">
        <v>39</v>
      </c>
    </row>
    <row r="19" spans="2:8" ht="34" x14ac:dyDescent="0.2">
      <c r="B19" s="3">
        <v>16</v>
      </c>
      <c r="C19" s="4" t="s">
        <v>41</v>
      </c>
      <c r="D19" s="2">
        <v>20</v>
      </c>
      <c r="E19" s="2">
        <v>6</v>
      </c>
      <c r="F19" s="2">
        <f>E19*D19</f>
        <v>120</v>
      </c>
      <c r="G19" s="2">
        <f>F19</f>
        <v>120</v>
      </c>
      <c r="H19" s="9" t="s">
        <v>42</v>
      </c>
    </row>
    <row r="20" spans="2:8" ht="51" x14ac:dyDescent="0.2">
      <c r="B20" s="3">
        <v>17</v>
      </c>
      <c r="C20" s="4" t="s">
        <v>43</v>
      </c>
      <c r="D20" s="2">
        <v>10</v>
      </c>
      <c r="E20" s="2">
        <v>15</v>
      </c>
      <c r="F20" s="2">
        <f>E20*D20</f>
        <v>150</v>
      </c>
      <c r="G20" s="2">
        <v>141</v>
      </c>
      <c r="H20" s="9" t="s">
        <v>44</v>
      </c>
    </row>
    <row r="21" spans="2:8" ht="30" x14ac:dyDescent="0.2">
      <c r="C21" s="10" t="s">
        <v>40</v>
      </c>
      <c r="D21" s="10"/>
      <c r="E21" s="10"/>
      <c r="F21" s="10"/>
      <c r="G21" s="10">
        <f>SUM(G3:G20)</f>
        <v>22978</v>
      </c>
      <c r="H21" s="10"/>
    </row>
  </sheetData>
  <hyperlinks>
    <hyperlink ref="H3" r:id="rId1" xr:uid="{16CACDB0-D9E9-0240-AA48-0BC7957D4C96}"/>
    <hyperlink ref="H4" r:id="rId2" xr:uid="{81F5EDEA-E18F-F54F-B7D8-41B60289E983}"/>
    <hyperlink ref="H5" r:id="rId3" xr:uid="{3268FFE1-02F9-954B-8A6C-CFB3E0B9EAAE}"/>
    <hyperlink ref="H6" r:id="rId4" xr:uid="{AECA9B50-F7BC-A242-9226-8E568B30D935}"/>
    <hyperlink ref="H7" r:id="rId5" xr:uid="{8498B71C-F433-BC4E-946D-CC906F0B31A5}"/>
    <hyperlink ref="H8" r:id="rId6" xr:uid="{58919212-30D5-7541-825E-3B65918EA444}"/>
    <hyperlink ref="H9" r:id="rId7" xr:uid="{BE89C427-2A31-CE40-BED0-E27BA91D99E9}"/>
    <hyperlink ref="H10" r:id="rId8" xr:uid="{09F48343-6496-B54C-989A-EBCC2FFB2603}"/>
    <hyperlink ref="H11" r:id="rId9" xr:uid="{CD741DDA-503D-484E-A8BD-82F5A7194DD7}"/>
    <hyperlink ref="H12" r:id="rId10" xr:uid="{CD81E25D-4E92-614F-9102-4433C5DEC9B2}"/>
    <hyperlink ref="H13" r:id="rId11" xr:uid="{19DFBC2C-99F6-E248-B261-517919453346}"/>
    <hyperlink ref="H14" r:id="rId12" xr:uid="{1CC55E1D-9AD3-F449-908B-DBB944195BD0}"/>
    <hyperlink ref="H15" r:id="rId13" xr:uid="{469568F6-5036-CB4E-8B8E-6B10853F2B70}"/>
    <hyperlink ref="H16" r:id="rId14" xr:uid="{A021E5BF-4F71-5B44-B039-A4376D666776}"/>
    <hyperlink ref="H17" r:id="rId15" xr:uid="{FF4A1A34-F09C-7842-863F-3C2F714C5652}"/>
    <hyperlink ref="H18" r:id="rId16" xr:uid="{68C3F79D-74BA-8B40-93EE-795437DD6E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Топ Просто</dc:creator>
  <cp:lastModifiedBy>Топ Просто</cp:lastModifiedBy>
  <dcterms:created xsi:type="dcterms:W3CDTF">2025-11-04T10:37:06Z</dcterms:created>
  <dcterms:modified xsi:type="dcterms:W3CDTF">2025-11-04T11:27:54Z</dcterms:modified>
</cp:coreProperties>
</file>